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chuat/Desktop/PhD/Research/REHO/REHO_LCA/REHO/REHO_data/"/>
    </mc:Choice>
  </mc:AlternateContent>
  <xr:revisionPtr revIDLastSave="0" documentId="13_ncr:1_{D8D490C1-88AF-1242-A45E-8A5DD1F873E9}" xr6:coauthVersionLast="47" xr6:coauthVersionMax="47" xr10:uidLastSave="{00000000-0000-0000-0000-000000000000}"/>
  <bookViews>
    <workbookView xWindow="0" yWindow="760" windowWidth="30240" windowHeight="17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5" i="1" l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6" i="1"/>
  <c r="C55" i="1"/>
  <c r="C54" i="1"/>
  <c r="C53" i="1"/>
  <c r="C51" i="1"/>
  <c r="C50" i="1"/>
  <c r="C47" i="1"/>
  <c r="C49" i="1"/>
  <c r="C48" i="1"/>
  <c r="C52" i="1"/>
  <c r="C58" i="1"/>
  <c r="C57" i="1"/>
  <c r="C17" i="1"/>
  <c r="C15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26" i="1"/>
  <c r="C25" i="1"/>
  <c r="C24" i="1"/>
  <c r="C23" i="1"/>
  <c r="C22" i="1"/>
  <c r="C21" i="1"/>
  <c r="C20" i="1"/>
  <c r="C19" i="1"/>
  <c r="C13" i="1"/>
  <c r="C12" i="1"/>
  <c r="C11" i="1"/>
  <c r="C9" i="1"/>
  <c r="C8" i="1"/>
  <c r="C7" i="1"/>
  <c r="C6" i="1"/>
  <c r="C4" i="1"/>
  <c r="C3" i="1"/>
</calcChain>
</file>

<file path=xl/sharedStrings.xml><?xml version="1.0" encoding="utf-8"?>
<sst xmlns="http://schemas.openxmlformats.org/spreadsheetml/2006/main" count="431" uniqueCount="112">
  <si>
    <t>Name</t>
  </si>
  <si>
    <t>Type</t>
  </si>
  <si>
    <t>Value</t>
  </si>
  <si>
    <t>LCA</t>
  </si>
  <si>
    <t>ESM</t>
  </si>
  <si>
    <t>Assumptions &amp; Sources</t>
  </si>
  <si>
    <t>PV</t>
  </si>
  <si>
    <t>Resource</t>
  </si>
  <si>
    <t>Construction</t>
  </si>
  <si>
    <t>Operation</t>
  </si>
  <si>
    <t>Flow</t>
  </si>
  <si>
    <t>kilogram</t>
  </si>
  <si>
    <t>unit</t>
  </si>
  <si>
    <t>person kilometer</t>
  </si>
  <si>
    <t>kilometer</t>
  </si>
  <si>
    <t>kilowatt hour</t>
  </si>
  <si>
    <t>megajoule</t>
  </si>
  <si>
    <t>square meter</t>
  </si>
  <si>
    <t>cubic meter</t>
  </si>
  <si>
    <t>kilowatt</t>
  </si>
  <si>
    <t>capacity factor (0.85): \cite{moret2017}</t>
  </si>
  <si>
    <t>number of passengers in cars (1.5): \cite{biedermann2023} ; yearly car distance (7600 km): \cite{biedermann2023}, capacity factor (0.051): \cite{limpens2021}</t>
  </si>
  <si>
    <t>Tank per boiler: \cite{wernet2016}</t>
  </si>
  <si>
    <t>surface to power ratio (0.7 kWth/m2): \cite{iea-shc2004}</t>
  </si>
  <si>
    <t>Fuel consumption (1.0417 kW_NG / kW_heat): \cite{wernet2016}</t>
  </si>
  <si>
    <t>cogeneration production (1.25 kWe/kWth): \cite{moret2017} ; allocation factor (0.1636): \cite{wernet2016}</t>
  </si>
  <si>
    <t>natural gas LHV (39 MJ/m3): \cite{wernet2016}</t>
  </si>
  <si>
    <t>hydrogen LHV (33.3 kWh/kg): \cite{engineeringtoolbox2003}</t>
  </si>
  <si>
    <t>Light fuel oil LHV (42.6 MJ/kg): \cite{engineeringtoolbox2003}</t>
  </si>
  <si>
    <t>LHV wood (15.4 MJ/kg): \cite{engineeringtoolbox2003}</t>
  </si>
  <si>
    <t>HeatPump_Geothermal</t>
  </si>
  <si>
    <t>HeatPump_Lake</t>
  </si>
  <si>
    <t>AirConditioner</t>
  </si>
  <si>
    <t>Battery</t>
  </si>
  <si>
    <t>Battery_district</t>
  </si>
  <si>
    <t>WaterTankSH</t>
  </si>
  <si>
    <t>WaterTankDHW</t>
  </si>
  <si>
    <t>Biomethane</t>
  </si>
  <si>
    <t>Heat</t>
  </si>
  <si>
    <t>EV_district</t>
  </si>
  <si>
    <t>ICE_district</t>
  </si>
  <si>
    <t>NG_Boiler</t>
  </si>
  <si>
    <t>OIL_Boiler</t>
  </si>
  <si>
    <t>OIL_Boiler_BOILER</t>
  </si>
  <si>
    <t>OIL_Boiler_TANK</t>
  </si>
  <si>
    <t>WOOD_Stove</t>
  </si>
  <si>
    <t>ElectricalHeater_other</t>
  </si>
  <si>
    <t>ElectricalHeater_SH</t>
  </si>
  <si>
    <t>ElectricalHeater_DHW</t>
  </si>
  <si>
    <t>HeatPump_Air</t>
  </si>
  <si>
    <t>ThermalSolar</t>
  </si>
  <si>
    <t>NG_Boiler_district</t>
  </si>
  <si>
    <t>NG_Cogeneration_district</t>
  </si>
  <si>
    <t>NG_Cogeneration_district_ELEC</t>
  </si>
  <si>
    <t>NG_Cogeneration_district_HEAT</t>
  </si>
  <si>
    <t>HeatPump_Geothermal_district</t>
  </si>
  <si>
    <t>HeatPump_DHN</t>
  </si>
  <si>
    <t>Electricity</t>
  </si>
  <si>
    <t>NaturalGas</t>
  </si>
  <si>
    <t>Hydrogen</t>
  </si>
  <si>
    <t>Oil</t>
  </si>
  <si>
    <t>Wood</t>
  </si>
  <si>
    <t>L</t>
  </si>
  <si>
    <t>ElectricalHeater_other_district</t>
  </si>
  <si>
    <t>Gasoline</t>
  </si>
  <si>
    <t>NG_Cogeneration_district_CHP</t>
  </si>
  <si>
    <t>benzene</t>
  </si>
  <si>
    <t>Other</t>
  </si>
  <si>
    <t>Benzene heat of combustion (42.5 MJ/kg): \cite{wernet2016}</t>
  </si>
  <si>
    <t>biogas</t>
  </si>
  <si>
    <t>natural gas density (0.777 kg/m3): \cite{engineeringtoolbox2003}</t>
  </si>
  <si>
    <t>biomass</t>
  </si>
  <si>
    <t>dry wood LHV (4.28 kWh/kg): \cite{engineeringtoolbox2003}</t>
  </si>
  <si>
    <t>diesel</t>
  </si>
  <si>
    <t>diesel LHV (11.83 kWh/kg): \cite{engineeringtoolbox2003}</t>
  </si>
  <si>
    <t>electricity</t>
  </si>
  <si>
    <t>ethylene</t>
  </si>
  <si>
    <t>Ethylene heat of combustion (50.285 MJ/kg): \cite{engineeringtoolbox2017}</t>
  </si>
  <si>
    <t>hard coal</t>
  </si>
  <si>
    <t>hard coal HHV (9.06 kWh/kg): \cite{engineeringtoolbox2003}, LHV-to-HHV ratio (0.95)</t>
  </si>
  <si>
    <t>heat</t>
  </si>
  <si>
    <t>heavy fuel oil</t>
  </si>
  <si>
    <t>heavy fuel oil LHV (10.83 kWh/kg): \cite{engineeringtoolbox2003}</t>
  </si>
  <si>
    <t>hydrogen</t>
  </si>
  <si>
    <t>kerosene</t>
  </si>
  <si>
    <t>kerosene LHV (11.94 kWh/kg): \cite{engineeringtoolbox2003}</t>
  </si>
  <si>
    <t>light fuel oil</t>
  </si>
  <si>
    <t>light fuel oil LHV (11.28 kWh/kg): \cite{engineeringtoolbox2003}</t>
  </si>
  <si>
    <t>lignite</t>
  </si>
  <si>
    <t>lignite HHV (3.89 kWh/kg): \cite{engineeringtoolbox2003}, LHV-to-HHV ratio (0.95)</t>
  </si>
  <si>
    <t>manure</t>
  </si>
  <si>
    <t>HHV manure (15 MJ/kg): \cite{marin-batista2020}, LHV-to-HHV ratio (0.95)</t>
  </si>
  <si>
    <t>methanol</t>
  </si>
  <si>
    <t>LHV methanol (5.54 kWh/kg): \cite{engineeringtoolbox2003}</t>
  </si>
  <si>
    <t>natural gas</t>
  </si>
  <si>
    <t>LHV natural gas (13.1 kWh/kg), density natural gas (0.777 kg/m3): \cite{engineeringtoolbox2003}</t>
  </si>
  <si>
    <t>LHV natural gas (13.1 kWh/kg): \cite{engineeringtoolbox2003}</t>
  </si>
  <si>
    <t>nuclear fuel element</t>
  </si>
  <si>
    <t>Nuclear fuel heat value (3900 GJ/kg) \cite{worldnuclearassociation}</t>
  </si>
  <si>
    <t>petrol</t>
  </si>
  <si>
    <t>gasoline LHV (12.06 kWh/kg): \cite{engineeringtoolbox2003}</t>
  </si>
  <si>
    <t>propylene</t>
  </si>
  <si>
    <t>Propylene LHV (45.799 MJ/kg): \cite{wikipedia2023}</t>
  </si>
  <si>
    <t>spruce wood chips</t>
  </si>
  <si>
    <t>syngas</t>
  </si>
  <si>
    <t>density of syngas: (0.470 kg/m3): \cite{vandergiesen2014}</t>
  </si>
  <si>
    <t>synthetic gas</t>
  </si>
  <si>
    <t>LHV of synthetic gas (5.4 MJ/Nm3): \cite{wernet2016}</t>
  </si>
  <si>
    <t>waste wood</t>
  </si>
  <si>
    <t>wood ash mixture</t>
  </si>
  <si>
    <t>wood chips</t>
  </si>
  <si>
    <t>wood chips and particles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</si>
</sst>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abSelected="1" topLeftCell="A40" workbookViewId="0">
      <selection activeCell="F57" sqref="F57"/>
    </sheetView>
  </sheetViews>
  <sheetFormatPr baseColWidth="10" defaultColWidth="8.83203125" defaultRowHeight="15" x14ac:dyDescent="0.2"/>
  <cols>
    <col min="1" max="1" width="32.33203125" bestFit="1" customWidth="1"/>
    <col min="2" max="2" width="12.33203125" bestFit="1" customWidth="1"/>
    <col min="3" max="3" width="12.6640625" bestFit="1" customWidth="1"/>
    <col min="4" max="4" width="14" bestFit="1" customWidth="1"/>
    <col min="5" max="5" width="21" bestFit="1" customWidth="1"/>
    <col min="6" max="6" width="226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x14ac:dyDescent="0.2">
      <c r="A2" s="3" t="s">
        <v>39</v>
      </c>
      <c r="B2" s="2" t="s">
        <v>8</v>
      </c>
      <c r="C2" s="2">
        <v>1</v>
      </c>
      <c r="D2" s="2" t="s">
        <v>12</v>
      </c>
      <c r="E2" s="2" t="s">
        <v>12</v>
      </c>
      <c r="F2" s="2" t="s">
        <v>21</v>
      </c>
    </row>
    <row r="3" spans="1:6" ht="16" x14ac:dyDescent="0.2">
      <c r="A3" s="3" t="s">
        <v>39</v>
      </c>
      <c r="B3" s="2" t="s">
        <v>9</v>
      </c>
      <c r="C3" s="2">
        <f>1 / 1.5</f>
        <v>0.66666666666666663</v>
      </c>
      <c r="D3" s="2" t="s">
        <v>14</v>
      </c>
      <c r="E3" s="2" t="s">
        <v>13</v>
      </c>
      <c r="F3" s="2" t="s">
        <v>21</v>
      </c>
    </row>
    <row r="4" spans="1:6" ht="16" x14ac:dyDescent="0.2">
      <c r="A4" s="3" t="s">
        <v>40</v>
      </c>
      <c r="B4" s="2" t="s">
        <v>9</v>
      </c>
      <c r="C4" s="2">
        <f>1 / 1.5</f>
        <v>0.66666666666666663</v>
      </c>
      <c r="D4" s="2" t="s">
        <v>14</v>
      </c>
      <c r="E4" s="2" t="s">
        <v>13</v>
      </c>
      <c r="F4" s="2" t="s">
        <v>21</v>
      </c>
    </row>
    <row r="5" spans="1:6" ht="16" x14ac:dyDescent="0.2">
      <c r="A5" s="3" t="s">
        <v>40</v>
      </c>
      <c r="B5" s="2" t="s">
        <v>8</v>
      </c>
      <c r="C5" s="2">
        <v>1</v>
      </c>
      <c r="D5" s="2" t="s">
        <v>12</v>
      </c>
      <c r="E5" s="2" t="s">
        <v>12</v>
      </c>
      <c r="F5" s="2" t="s">
        <v>21</v>
      </c>
    </row>
    <row r="6" spans="1:6" x14ac:dyDescent="0.2">
      <c r="A6" t="s">
        <v>41</v>
      </c>
      <c r="B6" s="2" t="s">
        <v>8</v>
      </c>
      <c r="C6" s="2">
        <f>1 / 10</f>
        <v>0.1</v>
      </c>
      <c r="D6" s="2" t="s">
        <v>12</v>
      </c>
      <c r="E6" s="2" t="s">
        <v>19</v>
      </c>
      <c r="F6" s="2"/>
    </row>
    <row r="7" spans="1:6" x14ac:dyDescent="0.2">
      <c r="A7" t="s">
        <v>41</v>
      </c>
      <c r="B7" s="2" t="s">
        <v>9</v>
      </c>
      <c r="C7" s="2">
        <f>1 * 3600 / 1000</f>
        <v>3.6</v>
      </c>
      <c r="D7" s="2" t="s">
        <v>16</v>
      </c>
      <c r="E7" s="2" t="s">
        <v>15</v>
      </c>
      <c r="F7" s="2"/>
    </row>
    <row r="8" spans="1:6" x14ac:dyDescent="0.2">
      <c r="A8" t="s">
        <v>42</v>
      </c>
      <c r="B8" s="2" t="s">
        <v>8</v>
      </c>
      <c r="C8" s="2">
        <f>1 / 10</f>
        <v>0.1</v>
      </c>
      <c r="D8" s="2" t="s">
        <v>12</v>
      </c>
      <c r="E8" s="2" t="s">
        <v>19</v>
      </c>
      <c r="F8" s="2"/>
    </row>
    <row r="9" spans="1:6" x14ac:dyDescent="0.2">
      <c r="A9" t="s">
        <v>42</v>
      </c>
      <c r="B9" s="2" t="s">
        <v>9</v>
      </c>
      <c r="C9" s="2">
        <f>1 * 3600 / 1000</f>
        <v>3.6</v>
      </c>
      <c r="D9" s="2" t="s">
        <v>16</v>
      </c>
      <c r="E9" s="2" t="s">
        <v>15</v>
      </c>
      <c r="F9" s="2"/>
    </row>
    <row r="10" spans="1:6" x14ac:dyDescent="0.2">
      <c r="A10" t="s">
        <v>43</v>
      </c>
      <c r="B10" s="2" t="s">
        <v>8</v>
      </c>
      <c r="C10" s="2">
        <v>1</v>
      </c>
      <c r="D10" s="2" t="s">
        <v>12</v>
      </c>
      <c r="E10" s="2" t="s">
        <v>12</v>
      </c>
      <c r="F10" s="2"/>
    </row>
    <row r="11" spans="1:6" x14ac:dyDescent="0.2">
      <c r="A11" t="s">
        <v>44</v>
      </c>
      <c r="B11" s="2" t="s">
        <v>8</v>
      </c>
      <c r="C11" s="2">
        <f>0.00000044092/0.00000066138</f>
        <v>0.66666666666666663</v>
      </c>
      <c r="D11" s="2" t="s">
        <v>12</v>
      </c>
      <c r="E11" s="2" t="s">
        <v>12</v>
      </c>
      <c r="F11" s="2" t="s">
        <v>22</v>
      </c>
    </row>
    <row r="12" spans="1:6" x14ac:dyDescent="0.2">
      <c r="A12" t="s">
        <v>45</v>
      </c>
      <c r="B12" s="2" t="s">
        <v>9</v>
      </c>
      <c r="C12" s="2">
        <f>1 * 3600 / 1000</f>
        <v>3.6</v>
      </c>
      <c r="D12" s="2" t="s">
        <v>16</v>
      </c>
      <c r="E12" s="2" t="s">
        <v>15</v>
      </c>
      <c r="F12" s="2"/>
    </row>
    <row r="13" spans="1:6" x14ac:dyDescent="0.2">
      <c r="A13" t="s">
        <v>45</v>
      </c>
      <c r="B13" s="2" t="s">
        <v>8</v>
      </c>
      <c r="C13" s="2">
        <f>1 / 50</f>
        <v>0.02</v>
      </c>
      <c r="D13" s="2" t="s">
        <v>12</v>
      </c>
      <c r="E13" s="2" t="s">
        <v>19</v>
      </c>
      <c r="F13" s="2"/>
    </row>
    <row r="14" spans="1:6" x14ac:dyDescent="0.2">
      <c r="A14" t="s">
        <v>46</v>
      </c>
      <c r="B14" s="2" t="s">
        <v>9</v>
      </c>
      <c r="C14" s="2">
        <v>1</v>
      </c>
      <c r="D14" s="2" t="s">
        <v>15</v>
      </c>
      <c r="E14" s="2" t="s">
        <v>15</v>
      </c>
      <c r="F14" s="2"/>
    </row>
    <row r="15" spans="1:6" x14ac:dyDescent="0.2">
      <c r="A15" t="s">
        <v>46</v>
      </c>
      <c r="B15" s="2" t="s">
        <v>8</v>
      </c>
      <c r="C15" s="2">
        <f>1 / 5</f>
        <v>0.2</v>
      </c>
      <c r="D15" s="2" t="s">
        <v>12</v>
      </c>
      <c r="E15" s="2" t="s">
        <v>19</v>
      </c>
      <c r="F15" s="2"/>
    </row>
    <row r="16" spans="1:6" x14ac:dyDescent="0.2">
      <c r="A16" t="s">
        <v>47</v>
      </c>
      <c r="B16" s="2" t="s">
        <v>9</v>
      </c>
      <c r="C16" s="2">
        <v>1</v>
      </c>
      <c r="D16" s="2" t="s">
        <v>15</v>
      </c>
      <c r="E16" s="2" t="s">
        <v>15</v>
      </c>
      <c r="F16" s="2"/>
    </row>
    <row r="17" spans="1:6" x14ac:dyDescent="0.2">
      <c r="A17" t="s">
        <v>47</v>
      </c>
      <c r="B17" s="2" t="s">
        <v>8</v>
      </c>
      <c r="C17" s="2">
        <f>1 / 5</f>
        <v>0.2</v>
      </c>
      <c r="D17" s="2" t="s">
        <v>12</v>
      </c>
      <c r="E17" s="2" t="s">
        <v>19</v>
      </c>
      <c r="F17" s="2"/>
    </row>
    <row r="18" spans="1:6" x14ac:dyDescent="0.2">
      <c r="A18" t="s">
        <v>48</v>
      </c>
      <c r="B18" s="2" t="s">
        <v>9</v>
      </c>
      <c r="C18" s="2">
        <v>1</v>
      </c>
      <c r="D18" s="2" t="s">
        <v>15</v>
      </c>
      <c r="E18" s="2" t="s">
        <v>15</v>
      </c>
      <c r="F18" s="2"/>
    </row>
    <row r="19" spans="1:6" x14ac:dyDescent="0.2">
      <c r="A19" t="s">
        <v>48</v>
      </c>
      <c r="B19" s="2" t="s">
        <v>8</v>
      </c>
      <c r="C19" s="2">
        <f>1 / 5</f>
        <v>0.2</v>
      </c>
      <c r="D19" s="2" t="s">
        <v>12</v>
      </c>
      <c r="E19" s="2" t="s">
        <v>19</v>
      </c>
      <c r="F19" s="2"/>
    </row>
    <row r="20" spans="1:6" x14ac:dyDescent="0.2">
      <c r="A20" t="s">
        <v>49</v>
      </c>
      <c r="B20" s="2" t="s">
        <v>9</v>
      </c>
      <c r="C20" s="2">
        <f>1 * 3600 / 1000</f>
        <v>3.6</v>
      </c>
      <c r="D20" s="2" t="s">
        <v>16</v>
      </c>
      <c r="E20" s="2" t="s">
        <v>15</v>
      </c>
      <c r="F20" s="2"/>
    </row>
    <row r="21" spans="1:6" x14ac:dyDescent="0.2">
      <c r="A21" t="s">
        <v>49</v>
      </c>
      <c r="B21" s="2" t="s">
        <v>8</v>
      </c>
      <c r="C21" s="2">
        <f>1 / 10</f>
        <v>0.1</v>
      </c>
      <c r="D21" s="2" t="s">
        <v>12</v>
      </c>
      <c r="E21" s="2" t="s">
        <v>19</v>
      </c>
      <c r="F21" s="2"/>
    </row>
    <row r="22" spans="1:6" x14ac:dyDescent="0.2">
      <c r="A22" t="s">
        <v>50</v>
      </c>
      <c r="B22" s="2" t="s">
        <v>8</v>
      </c>
      <c r="C22" s="2">
        <f>1 / 0.7</f>
        <v>1.4285714285714286</v>
      </c>
      <c r="D22" s="2" t="s">
        <v>17</v>
      </c>
      <c r="E22" s="2" t="s">
        <v>19</v>
      </c>
      <c r="F22" s="2" t="s">
        <v>23</v>
      </c>
    </row>
    <row r="23" spans="1:6" x14ac:dyDescent="0.2">
      <c r="A23" t="s">
        <v>51</v>
      </c>
      <c r="B23" s="2" t="s">
        <v>8</v>
      </c>
      <c r="C23" s="2">
        <f>(1000000 / 100) * 1.0417 / 1000000</f>
        <v>1.0416999999999999E-2</v>
      </c>
      <c r="D23" s="2" t="s">
        <v>12</v>
      </c>
      <c r="E23" s="2" t="s">
        <v>19</v>
      </c>
      <c r="F23" s="2" t="s">
        <v>24</v>
      </c>
    </row>
    <row r="24" spans="1:6" x14ac:dyDescent="0.2">
      <c r="A24" t="s">
        <v>51</v>
      </c>
      <c r="B24" s="2" t="s">
        <v>9</v>
      </c>
      <c r="C24" s="2">
        <f>1 * 3600 / 1000</f>
        <v>3.6</v>
      </c>
      <c r="D24" s="2" t="s">
        <v>16</v>
      </c>
      <c r="E24" s="2" t="s">
        <v>15</v>
      </c>
      <c r="F24" s="2" t="s">
        <v>24</v>
      </c>
    </row>
    <row r="25" spans="1:6" x14ac:dyDescent="0.2">
      <c r="A25" t="s">
        <v>52</v>
      </c>
      <c r="B25" s="2" t="s">
        <v>9</v>
      </c>
      <c r="C25" s="2">
        <f>(1000 * 3600) / 0.1636 / 1000000</f>
        <v>22.004889975550121</v>
      </c>
      <c r="D25" s="2" t="s">
        <v>16</v>
      </c>
      <c r="E25" s="2" t="s">
        <v>15</v>
      </c>
      <c r="F25" s="2" t="s">
        <v>25</v>
      </c>
    </row>
    <row r="26" spans="1:6" x14ac:dyDescent="0.2">
      <c r="A26" t="s">
        <v>52</v>
      </c>
      <c r="B26" s="2" t="s">
        <v>8</v>
      </c>
      <c r="C26" s="2">
        <f>1 * 1.25 / 1000</f>
        <v>1.25E-3</v>
      </c>
      <c r="D26" s="2" t="s">
        <v>12</v>
      </c>
      <c r="E26" s="2" t="s">
        <v>19</v>
      </c>
      <c r="F26" s="2" t="s">
        <v>25</v>
      </c>
    </row>
    <row r="27" spans="1:6" ht="16" x14ac:dyDescent="0.2">
      <c r="A27" s="4" t="s">
        <v>52</v>
      </c>
      <c r="B27" s="2" t="s">
        <v>8</v>
      </c>
      <c r="C27" s="2">
        <v>1</v>
      </c>
      <c r="D27" s="2" t="s">
        <v>12</v>
      </c>
      <c r="E27" s="2" t="s">
        <v>12</v>
      </c>
      <c r="F27" s="2"/>
    </row>
    <row r="28" spans="1:6" ht="16" x14ac:dyDescent="0.2">
      <c r="A28" s="4" t="s">
        <v>65</v>
      </c>
      <c r="B28" s="2" t="s">
        <v>8</v>
      </c>
      <c r="C28" s="2">
        <v>1</v>
      </c>
      <c r="D28" s="2" t="s">
        <v>12</v>
      </c>
      <c r="E28" s="2" t="s">
        <v>12</v>
      </c>
      <c r="F28" s="2"/>
    </row>
    <row r="29" spans="1:6" x14ac:dyDescent="0.2">
      <c r="A29" t="s">
        <v>53</v>
      </c>
      <c r="B29" s="2" t="s">
        <v>8</v>
      </c>
      <c r="C29" s="2">
        <v>1</v>
      </c>
      <c r="D29" s="2" t="s">
        <v>12</v>
      </c>
      <c r="E29" s="2" t="s">
        <v>12</v>
      </c>
      <c r="F29" s="2"/>
    </row>
    <row r="30" spans="1:6" x14ac:dyDescent="0.2">
      <c r="A30" t="s">
        <v>54</v>
      </c>
      <c r="B30" s="2" t="s">
        <v>8</v>
      </c>
      <c r="C30" s="2">
        <v>1</v>
      </c>
      <c r="D30" s="2" t="s">
        <v>12</v>
      </c>
      <c r="E30" s="2" t="s">
        <v>12</v>
      </c>
      <c r="F30" s="2"/>
    </row>
    <row r="31" spans="1:6" x14ac:dyDescent="0.2">
      <c r="A31" t="s">
        <v>55</v>
      </c>
      <c r="B31" s="2" t="s">
        <v>9</v>
      </c>
      <c r="C31" s="2">
        <f>1 * 3600 / 1000</f>
        <v>3.6</v>
      </c>
      <c r="D31" s="2" t="s">
        <v>16</v>
      </c>
      <c r="E31" s="2" t="s">
        <v>15</v>
      </c>
      <c r="F31" s="2" t="s">
        <v>20</v>
      </c>
    </row>
    <row r="32" spans="1:6" x14ac:dyDescent="0.2">
      <c r="A32" t="s">
        <v>55</v>
      </c>
      <c r="B32" s="2" t="s">
        <v>8</v>
      </c>
      <c r="C32" s="2">
        <f>8760 * 0.85 * 3.6 / 1483 / 1000000</f>
        <v>1.8075252865812543E-5</v>
      </c>
      <c r="D32" s="2" t="s">
        <v>12</v>
      </c>
      <c r="E32" s="2" t="s">
        <v>19</v>
      </c>
      <c r="F32" s="2" t="s">
        <v>20</v>
      </c>
    </row>
    <row r="33" spans="1:6" x14ac:dyDescent="0.2">
      <c r="A33" t="s">
        <v>56</v>
      </c>
      <c r="B33" s="2" t="s">
        <v>8</v>
      </c>
      <c r="C33" s="2">
        <f>1 / 30</f>
        <v>3.3333333333333333E-2</v>
      </c>
      <c r="D33" s="2" t="s">
        <v>12</v>
      </c>
      <c r="E33" s="2" t="s">
        <v>19</v>
      </c>
      <c r="F33" s="2"/>
    </row>
    <row r="34" spans="1:6" x14ac:dyDescent="0.2">
      <c r="A34" t="s">
        <v>56</v>
      </c>
      <c r="B34" s="2" t="s">
        <v>9</v>
      </c>
      <c r="C34" s="2">
        <f>1 * 3600 / 1000</f>
        <v>3.6</v>
      </c>
      <c r="D34" s="2" t="s">
        <v>16</v>
      </c>
      <c r="E34" s="2" t="s">
        <v>15</v>
      </c>
      <c r="F34" s="2"/>
    </row>
    <row r="35" spans="1:6" x14ac:dyDescent="0.2">
      <c r="A35" t="s">
        <v>57</v>
      </c>
      <c r="B35" s="2" t="s">
        <v>7</v>
      </c>
      <c r="C35" s="2">
        <f>1</f>
        <v>1</v>
      </c>
      <c r="D35" s="2" t="s">
        <v>15</v>
      </c>
      <c r="E35" s="2" t="s">
        <v>15</v>
      </c>
      <c r="F35" s="2"/>
    </row>
    <row r="36" spans="1:6" x14ac:dyDescent="0.2">
      <c r="A36" t="s">
        <v>57</v>
      </c>
      <c r="B36" s="2" t="s">
        <v>10</v>
      </c>
      <c r="C36" s="2">
        <f>1</f>
        <v>1</v>
      </c>
      <c r="D36" s="2" t="s">
        <v>15</v>
      </c>
      <c r="E36" s="2" t="s">
        <v>15</v>
      </c>
      <c r="F36" s="2"/>
    </row>
    <row r="37" spans="1:6" x14ac:dyDescent="0.2">
      <c r="A37" t="s">
        <v>58</v>
      </c>
      <c r="B37" s="2" t="s">
        <v>7</v>
      </c>
      <c r="C37" s="2">
        <f>1 / (0.777 * 13.1)</f>
        <v>9.8244373053533368E-2</v>
      </c>
      <c r="D37" s="2" t="s">
        <v>18</v>
      </c>
      <c r="E37" s="2" t="s">
        <v>15</v>
      </c>
      <c r="F37" s="2" t="s">
        <v>26</v>
      </c>
    </row>
    <row r="38" spans="1:6" x14ac:dyDescent="0.2">
      <c r="A38" t="s">
        <v>58</v>
      </c>
      <c r="B38" s="2" t="s">
        <v>10</v>
      </c>
      <c r="C38" s="2">
        <f>1 / (0.777 * 13.1)</f>
        <v>9.8244373053533368E-2</v>
      </c>
      <c r="D38" s="2" t="s">
        <v>18</v>
      </c>
      <c r="E38" s="2" t="s">
        <v>15</v>
      </c>
      <c r="F38" s="2" t="s">
        <v>26</v>
      </c>
    </row>
    <row r="39" spans="1:6" x14ac:dyDescent="0.2">
      <c r="A39" t="s">
        <v>59</v>
      </c>
      <c r="B39" s="2" t="s">
        <v>7</v>
      </c>
      <c r="C39" s="2">
        <f>1 / 33.3</f>
        <v>3.0030030030030033E-2</v>
      </c>
      <c r="D39" s="2" t="s">
        <v>11</v>
      </c>
      <c r="E39" s="2" t="s">
        <v>15</v>
      </c>
      <c r="F39" s="2" t="s">
        <v>27</v>
      </c>
    </row>
    <row r="40" spans="1:6" x14ac:dyDescent="0.2">
      <c r="A40" t="s">
        <v>59</v>
      </c>
      <c r="B40" s="2" t="s">
        <v>10</v>
      </c>
      <c r="C40" s="2">
        <f>1 / 33.3</f>
        <v>3.0030030030030033E-2</v>
      </c>
      <c r="D40" s="2" t="s">
        <v>11</v>
      </c>
      <c r="E40" s="2" t="s">
        <v>15</v>
      </c>
      <c r="F40" s="2" t="s">
        <v>27</v>
      </c>
    </row>
    <row r="41" spans="1:6" x14ac:dyDescent="0.2">
      <c r="A41" t="s">
        <v>60</v>
      </c>
      <c r="B41" s="2" t="s">
        <v>10</v>
      </c>
      <c r="C41" s="2">
        <f>1 * 3.6 / 42.6</f>
        <v>8.4507042253521125E-2</v>
      </c>
      <c r="D41" s="2" t="s">
        <v>11</v>
      </c>
      <c r="E41" s="2" t="s">
        <v>15</v>
      </c>
      <c r="F41" s="2" t="s">
        <v>28</v>
      </c>
    </row>
    <row r="42" spans="1:6" x14ac:dyDescent="0.2">
      <c r="A42" t="s">
        <v>60</v>
      </c>
      <c r="B42" s="2" t="s">
        <v>7</v>
      </c>
      <c r="C42" s="2">
        <f>1 * 3.6 / 42.6</f>
        <v>8.4507042253521125E-2</v>
      </c>
      <c r="D42" s="2" t="s">
        <v>11</v>
      </c>
      <c r="E42" s="2" t="s">
        <v>15</v>
      </c>
      <c r="F42" s="2" t="s">
        <v>28</v>
      </c>
    </row>
    <row r="43" spans="1:6" x14ac:dyDescent="0.2">
      <c r="A43" t="s">
        <v>6</v>
      </c>
      <c r="B43" s="2" t="s">
        <v>9</v>
      </c>
      <c r="C43" s="2">
        <f>1</f>
        <v>1</v>
      </c>
      <c r="D43" s="2" t="s">
        <v>15</v>
      </c>
      <c r="E43" s="2" t="s">
        <v>15</v>
      </c>
      <c r="F43" s="2"/>
    </row>
    <row r="44" spans="1:6" x14ac:dyDescent="0.2">
      <c r="A44" t="s">
        <v>6</v>
      </c>
      <c r="B44" s="2" t="s">
        <v>8</v>
      </c>
      <c r="C44" s="2">
        <f>1/0.003 / 1000</f>
        <v>0.33333333333333331</v>
      </c>
      <c r="D44" s="2" t="s">
        <v>12</v>
      </c>
      <c r="E44" s="2" t="s">
        <v>19</v>
      </c>
      <c r="F44" s="2"/>
    </row>
    <row r="45" spans="1:6" x14ac:dyDescent="0.2">
      <c r="A45" t="s">
        <v>61</v>
      </c>
      <c r="B45" s="2" t="s">
        <v>7</v>
      </c>
      <c r="C45" s="2">
        <f>1 * 3.6 / 15.4</f>
        <v>0.23376623376623376</v>
      </c>
      <c r="D45" s="2" t="s">
        <v>11</v>
      </c>
      <c r="E45" s="2" t="s">
        <v>15</v>
      </c>
      <c r="F45" s="2" t="s">
        <v>29</v>
      </c>
    </row>
    <row r="46" spans="1:6" x14ac:dyDescent="0.2">
      <c r="A46" t="s">
        <v>61</v>
      </c>
      <c r="B46" s="2" t="s">
        <v>10</v>
      </c>
      <c r="C46" s="2">
        <f>1 * 3.6 / 15.4</f>
        <v>0.23376623376623376</v>
      </c>
      <c r="D46" s="2" t="s">
        <v>11</v>
      </c>
      <c r="E46" s="2" t="s">
        <v>15</v>
      </c>
      <c r="F46" s="2" t="s">
        <v>29</v>
      </c>
    </row>
    <row r="47" spans="1:6" ht="16" x14ac:dyDescent="0.2">
      <c r="A47" s="3" t="s">
        <v>30</v>
      </c>
      <c r="B47" s="2" t="s">
        <v>8</v>
      </c>
      <c r="C47" s="2">
        <f>1/10</f>
        <v>0.1</v>
      </c>
      <c r="D47" s="2" t="s">
        <v>12</v>
      </c>
      <c r="E47" s="2" t="s">
        <v>19</v>
      </c>
    </row>
    <row r="48" spans="1:6" ht="16" x14ac:dyDescent="0.2">
      <c r="A48" s="3" t="s">
        <v>30</v>
      </c>
      <c r="B48" s="2" t="s">
        <v>9</v>
      </c>
      <c r="C48" s="2">
        <f>3.6</f>
        <v>3.6</v>
      </c>
      <c r="D48" s="2" t="s">
        <v>16</v>
      </c>
      <c r="E48" s="2" t="s">
        <v>15</v>
      </c>
    </row>
    <row r="49" spans="1:6" ht="16" x14ac:dyDescent="0.2">
      <c r="A49" s="3" t="s">
        <v>31</v>
      </c>
      <c r="B49" s="2" t="s">
        <v>9</v>
      </c>
      <c r="C49" s="2">
        <f>3.6</f>
        <v>3.6</v>
      </c>
      <c r="D49" s="2" t="s">
        <v>16</v>
      </c>
      <c r="E49" s="2" t="s">
        <v>15</v>
      </c>
    </row>
    <row r="50" spans="1:6" ht="16" x14ac:dyDescent="0.2">
      <c r="A50" s="3" t="s">
        <v>31</v>
      </c>
      <c r="B50" s="2" t="s">
        <v>8</v>
      </c>
      <c r="C50" s="2">
        <f>1/10</f>
        <v>0.1</v>
      </c>
      <c r="D50" s="2" t="s">
        <v>12</v>
      </c>
      <c r="E50" s="2" t="s">
        <v>19</v>
      </c>
    </row>
    <row r="51" spans="1:6" ht="16" x14ac:dyDescent="0.2">
      <c r="A51" s="3" t="s">
        <v>32</v>
      </c>
      <c r="B51" s="2" t="s">
        <v>8</v>
      </c>
      <c r="C51" s="2">
        <f>1/10</f>
        <v>0.1</v>
      </c>
      <c r="D51" s="2" t="s">
        <v>12</v>
      </c>
      <c r="E51" s="2" t="s">
        <v>19</v>
      </c>
    </row>
    <row r="52" spans="1:6" ht="16" x14ac:dyDescent="0.2">
      <c r="A52" s="3" t="s">
        <v>32</v>
      </c>
      <c r="B52" s="2" t="s">
        <v>9</v>
      </c>
      <c r="C52" s="2">
        <f>3.6</f>
        <v>3.6</v>
      </c>
      <c r="D52" s="2" t="s">
        <v>16</v>
      </c>
      <c r="E52" s="2" t="s">
        <v>15</v>
      </c>
    </row>
    <row r="53" spans="1:6" ht="16" x14ac:dyDescent="0.2">
      <c r="A53" s="3" t="s">
        <v>33</v>
      </c>
      <c r="B53" s="2" t="s">
        <v>8</v>
      </c>
      <c r="C53">
        <f>1/14.4</f>
        <v>6.9444444444444448E-2</v>
      </c>
      <c r="D53" s="2" t="s">
        <v>12</v>
      </c>
      <c r="E53" s="2" t="s">
        <v>15</v>
      </c>
    </row>
    <row r="54" spans="1:6" ht="16" x14ac:dyDescent="0.2">
      <c r="A54" s="3" t="s">
        <v>34</v>
      </c>
      <c r="B54" s="2" t="s">
        <v>8</v>
      </c>
      <c r="C54">
        <f>1/14.4</f>
        <v>6.9444444444444448E-2</v>
      </c>
      <c r="D54" s="2" t="s">
        <v>12</v>
      </c>
      <c r="E54" s="2" t="s">
        <v>15</v>
      </c>
    </row>
    <row r="55" spans="1:6" ht="16" x14ac:dyDescent="0.2">
      <c r="A55" s="3" t="s">
        <v>35</v>
      </c>
      <c r="B55" s="2" t="s">
        <v>8</v>
      </c>
      <c r="C55">
        <f>1/600</f>
        <v>1.6666666666666668E-3</v>
      </c>
      <c r="D55" s="2" t="s">
        <v>12</v>
      </c>
      <c r="E55" s="2" t="s">
        <v>62</v>
      </c>
    </row>
    <row r="56" spans="1:6" ht="16" x14ac:dyDescent="0.2">
      <c r="A56" s="3" t="s">
        <v>36</v>
      </c>
      <c r="B56" s="2" t="s">
        <v>8</v>
      </c>
      <c r="C56">
        <f>1/600</f>
        <v>1.6666666666666668E-3</v>
      </c>
      <c r="D56" s="2" t="s">
        <v>12</v>
      </c>
      <c r="E56" s="2" t="s">
        <v>62</v>
      </c>
    </row>
    <row r="57" spans="1:6" ht="16" x14ac:dyDescent="0.2">
      <c r="A57" s="3" t="s">
        <v>37</v>
      </c>
      <c r="B57" t="s">
        <v>7</v>
      </c>
      <c r="C57" s="2">
        <f>3.6</f>
        <v>3.6</v>
      </c>
      <c r="D57" s="2" t="s">
        <v>16</v>
      </c>
      <c r="E57" s="2" t="s">
        <v>15</v>
      </c>
    </row>
    <row r="58" spans="1:6" ht="16" x14ac:dyDescent="0.2">
      <c r="A58" s="3" t="s">
        <v>38</v>
      </c>
      <c r="B58" s="2" t="s">
        <v>7</v>
      </c>
      <c r="C58" s="2">
        <f>3.6</f>
        <v>3.6</v>
      </c>
      <c r="D58" s="2" t="s">
        <v>16</v>
      </c>
      <c r="E58" s="2" t="s">
        <v>15</v>
      </c>
    </row>
    <row r="59" spans="1:6" ht="16" x14ac:dyDescent="0.2">
      <c r="A59" s="3" t="s">
        <v>63</v>
      </c>
      <c r="B59" s="2" t="s">
        <v>9</v>
      </c>
      <c r="C59" s="2">
        <v>1</v>
      </c>
      <c r="D59" s="2" t="s">
        <v>15</v>
      </c>
      <c r="E59" s="2" t="s">
        <v>15</v>
      </c>
    </row>
    <row r="60" spans="1:6" ht="16" x14ac:dyDescent="0.2">
      <c r="A60" s="3" t="s">
        <v>63</v>
      </c>
      <c r="B60" s="2" t="s">
        <v>8</v>
      </c>
      <c r="C60" s="2">
        <f>1 / 5</f>
        <v>0.2</v>
      </c>
      <c r="D60" s="2" t="s">
        <v>12</v>
      </c>
      <c r="E60" s="2" t="s">
        <v>19</v>
      </c>
    </row>
    <row r="61" spans="1:6" x14ac:dyDescent="0.2">
      <c r="A61" t="s">
        <v>64</v>
      </c>
      <c r="B61" s="2" t="s">
        <v>7</v>
      </c>
      <c r="C61" s="2">
        <f>1</f>
        <v>1</v>
      </c>
      <c r="D61" s="2" t="s">
        <v>15</v>
      </c>
      <c r="E61" s="2" t="s">
        <v>15</v>
      </c>
    </row>
    <row r="62" spans="1:6" x14ac:dyDescent="0.2">
      <c r="A62" t="s">
        <v>64</v>
      </c>
      <c r="B62" s="2" t="s">
        <v>10</v>
      </c>
      <c r="C62" s="2">
        <f>1</f>
        <v>1</v>
      </c>
      <c r="D62" s="2" t="s">
        <v>15</v>
      </c>
      <c r="E62" s="2" t="s">
        <v>15</v>
      </c>
    </row>
    <row r="63" spans="1:6" x14ac:dyDescent="0.2">
      <c r="A63" t="s">
        <v>66</v>
      </c>
      <c r="B63" t="s">
        <v>67</v>
      </c>
      <c r="C63">
        <f>1 * 3.6 / 42.5</f>
        <v>8.4705882352941173E-2</v>
      </c>
      <c r="D63" t="s">
        <v>11</v>
      </c>
      <c r="E63" t="s">
        <v>15</v>
      </c>
      <c r="F63" t="s">
        <v>68</v>
      </c>
    </row>
    <row r="64" spans="1:6" x14ac:dyDescent="0.2">
      <c r="A64" t="s">
        <v>69</v>
      </c>
      <c r="B64" t="s">
        <v>67</v>
      </c>
      <c r="C64">
        <f>0.777</f>
        <v>0.77700000000000002</v>
      </c>
      <c r="D64" t="s">
        <v>11</v>
      </c>
      <c r="E64" t="s">
        <v>18</v>
      </c>
      <c r="F64" t="s">
        <v>70</v>
      </c>
    </row>
    <row r="65" spans="1:6" x14ac:dyDescent="0.2">
      <c r="A65" t="s">
        <v>69</v>
      </c>
      <c r="B65" t="s">
        <v>67</v>
      </c>
      <c r="C65">
        <f>1/0.777</f>
        <v>1.287001287001287</v>
      </c>
      <c r="D65" t="s">
        <v>18</v>
      </c>
      <c r="E65" t="s">
        <v>11</v>
      </c>
      <c r="F65" t="s">
        <v>70</v>
      </c>
    </row>
    <row r="66" spans="1:6" x14ac:dyDescent="0.2">
      <c r="A66" t="s">
        <v>71</v>
      </c>
      <c r="B66" t="s">
        <v>67</v>
      </c>
      <c r="C66">
        <f>1/4.28</f>
        <v>0.23364485981308411</v>
      </c>
      <c r="D66" t="s">
        <v>11</v>
      </c>
      <c r="E66" t="s">
        <v>15</v>
      </c>
      <c r="F66" t="s">
        <v>72</v>
      </c>
    </row>
    <row r="67" spans="1:6" x14ac:dyDescent="0.2">
      <c r="A67" t="s">
        <v>73</v>
      </c>
      <c r="B67" t="s">
        <v>67</v>
      </c>
      <c r="C67">
        <f>1/11.83</f>
        <v>8.453085376162299E-2</v>
      </c>
      <c r="D67" t="s">
        <v>11</v>
      </c>
      <c r="E67" t="s">
        <v>15</v>
      </c>
      <c r="F67" t="s">
        <v>74</v>
      </c>
    </row>
    <row r="68" spans="1:6" x14ac:dyDescent="0.2">
      <c r="A68" t="s">
        <v>75</v>
      </c>
      <c r="B68" t="s">
        <v>67</v>
      </c>
      <c r="C68">
        <f>3.6</f>
        <v>3.6</v>
      </c>
      <c r="D68" t="s">
        <v>16</v>
      </c>
      <c r="E68" t="s">
        <v>15</v>
      </c>
    </row>
    <row r="69" spans="1:6" x14ac:dyDescent="0.2">
      <c r="A69" t="s">
        <v>75</v>
      </c>
      <c r="B69" t="s">
        <v>67</v>
      </c>
      <c r="C69">
        <f>1/3.6</f>
        <v>0.27777777777777779</v>
      </c>
      <c r="D69" t="s">
        <v>15</v>
      </c>
      <c r="E69" t="s">
        <v>16</v>
      </c>
    </row>
    <row r="70" spans="1:6" x14ac:dyDescent="0.2">
      <c r="A70" t="s">
        <v>76</v>
      </c>
      <c r="B70" t="s">
        <v>67</v>
      </c>
      <c r="C70">
        <f>1 * 3.6 / 50.285</f>
        <v>7.1591926021676452E-2</v>
      </c>
      <c r="D70" t="s">
        <v>11</v>
      </c>
      <c r="E70" t="s">
        <v>15</v>
      </c>
      <c r="F70" t="s">
        <v>77</v>
      </c>
    </row>
    <row r="71" spans="1:6" x14ac:dyDescent="0.2">
      <c r="A71" t="s">
        <v>78</v>
      </c>
      <c r="B71" t="s">
        <v>67</v>
      </c>
      <c r="C71">
        <f>1/(9.06*0.95)</f>
        <v>0.11618450098756827</v>
      </c>
      <c r="D71" t="s">
        <v>11</v>
      </c>
      <c r="E71" t="s">
        <v>15</v>
      </c>
      <c r="F71" t="s">
        <v>79</v>
      </c>
    </row>
    <row r="72" spans="1:6" x14ac:dyDescent="0.2">
      <c r="A72" t="s">
        <v>80</v>
      </c>
      <c r="B72" t="s">
        <v>67</v>
      </c>
      <c r="C72">
        <f>3.6</f>
        <v>3.6</v>
      </c>
      <c r="D72" t="s">
        <v>16</v>
      </c>
      <c r="E72" t="s">
        <v>15</v>
      </c>
    </row>
    <row r="73" spans="1:6" x14ac:dyDescent="0.2">
      <c r="A73" t="s">
        <v>80</v>
      </c>
      <c r="B73" t="s">
        <v>67</v>
      </c>
      <c r="C73">
        <f>1/3.6</f>
        <v>0.27777777777777779</v>
      </c>
      <c r="D73" t="s">
        <v>15</v>
      </c>
      <c r="E73" t="s">
        <v>16</v>
      </c>
    </row>
    <row r="74" spans="1:6" x14ac:dyDescent="0.2">
      <c r="A74" t="s">
        <v>81</v>
      </c>
      <c r="B74" t="s">
        <v>67</v>
      </c>
      <c r="C74">
        <f>1/10.83</f>
        <v>9.2336103416435819E-2</v>
      </c>
      <c r="D74" t="s">
        <v>11</v>
      </c>
      <c r="E74" t="s">
        <v>15</v>
      </c>
      <c r="F74" t="s">
        <v>82</v>
      </c>
    </row>
    <row r="75" spans="1:6" x14ac:dyDescent="0.2">
      <c r="A75" t="s">
        <v>83</v>
      </c>
      <c r="B75" t="s">
        <v>67</v>
      </c>
      <c r="C75">
        <f>1 / (33.3)</f>
        <v>3.0030030030030033E-2</v>
      </c>
      <c r="D75" t="s">
        <v>11</v>
      </c>
      <c r="E75" t="s">
        <v>15</v>
      </c>
      <c r="F75" t="s">
        <v>27</v>
      </c>
    </row>
    <row r="76" spans="1:6" x14ac:dyDescent="0.2">
      <c r="A76" t="s">
        <v>84</v>
      </c>
      <c r="B76" t="s">
        <v>67</v>
      </c>
      <c r="C76">
        <f>1/11.94</f>
        <v>8.3752093802345065E-2</v>
      </c>
      <c r="D76" t="s">
        <v>11</v>
      </c>
      <c r="E76" t="s">
        <v>15</v>
      </c>
      <c r="F76" t="s">
        <v>85</v>
      </c>
    </row>
    <row r="77" spans="1:6" x14ac:dyDescent="0.2">
      <c r="A77" t="s">
        <v>86</v>
      </c>
      <c r="B77" t="s">
        <v>67</v>
      </c>
      <c r="C77">
        <f>1/11.28</f>
        <v>8.8652482269503549E-2</v>
      </c>
      <c r="D77" t="s">
        <v>11</v>
      </c>
      <c r="E77" t="s">
        <v>15</v>
      </c>
      <c r="F77" t="s">
        <v>87</v>
      </c>
    </row>
    <row r="78" spans="1:6" x14ac:dyDescent="0.2">
      <c r="A78" t="s">
        <v>88</v>
      </c>
      <c r="B78" t="s">
        <v>67</v>
      </c>
      <c r="C78">
        <f>1/(3.89*0.95)</f>
        <v>0.27059937762143149</v>
      </c>
      <c r="D78" t="s">
        <v>11</v>
      </c>
      <c r="E78" t="s">
        <v>15</v>
      </c>
      <c r="F78" t="s">
        <v>89</v>
      </c>
    </row>
    <row r="79" spans="1:6" x14ac:dyDescent="0.2">
      <c r="A79" t="s">
        <v>90</v>
      </c>
      <c r="B79" t="s">
        <v>67</v>
      </c>
      <c r="C79">
        <f>1/(15*0.95/3.6)</f>
        <v>0.25263157894736843</v>
      </c>
      <c r="D79" t="s">
        <v>11</v>
      </c>
      <c r="E79" t="s">
        <v>15</v>
      </c>
      <c r="F79" t="s">
        <v>91</v>
      </c>
    </row>
    <row r="80" spans="1:6" x14ac:dyDescent="0.2">
      <c r="A80" t="s">
        <v>92</v>
      </c>
      <c r="B80" t="s">
        <v>67</v>
      </c>
      <c r="C80">
        <f>1 / 5.54</f>
        <v>0.18050541516245489</v>
      </c>
      <c r="D80" t="s">
        <v>11</v>
      </c>
      <c r="E80" t="s">
        <v>15</v>
      </c>
      <c r="F80" t="s">
        <v>93</v>
      </c>
    </row>
    <row r="81" spans="1:6" x14ac:dyDescent="0.2">
      <c r="A81" t="s">
        <v>94</v>
      </c>
      <c r="B81" t="s">
        <v>67</v>
      </c>
      <c r="C81">
        <f>1 / (13.1*0.777)</f>
        <v>9.8244373053533368E-2</v>
      </c>
      <c r="D81" t="s">
        <v>18</v>
      </c>
      <c r="E81" t="s">
        <v>15</v>
      </c>
      <c r="F81" t="s">
        <v>95</v>
      </c>
    </row>
    <row r="82" spans="1:6" x14ac:dyDescent="0.2">
      <c r="A82" t="s">
        <v>94</v>
      </c>
      <c r="B82" t="s">
        <v>67</v>
      </c>
      <c r="C82">
        <f>1 / (13.1)</f>
        <v>7.6335877862595422E-2</v>
      </c>
      <c r="D82" t="s">
        <v>11</v>
      </c>
      <c r="E82" t="s">
        <v>15</v>
      </c>
      <c r="F82" t="s">
        <v>96</v>
      </c>
    </row>
    <row r="83" spans="1:6" x14ac:dyDescent="0.2">
      <c r="A83" t="s">
        <v>94</v>
      </c>
      <c r="B83" t="s">
        <v>67</v>
      </c>
      <c r="C83">
        <f>0.777</f>
        <v>0.77700000000000002</v>
      </c>
      <c r="D83" t="s">
        <v>11</v>
      </c>
      <c r="E83" t="s">
        <v>18</v>
      </c>
      <c r="F83" t="s">
        <v>70</v>
      </c>
    </row>
    <row r="84" spans="1:6" x14ac:dyDescent="0.2">
      <c r="A84" t="s">
        <v>94</v>
      </c>
      <c r="B84" t="s">
        <v>67</v>
      </c>
      <c r="C84">
        <f>1/0.777</f>
        <v>1.287001287001287</v>
      </c>
      <c r="D84" t="s">
        <v>18</v>
      </c>
      <c r="E84" t="s">
        <v>11</v>
      </c>
      <c r="F84" t="s">
        <v>70</v>
      </c>
    </row>
    <row r="85" spans="1:6" x14ac:dyDescent="0.2">
      <c r="A85" t="s">
        <v>97</v>
      </c>
      <c r="B85" t="s">
        <v>67</v>
      </c>
      <c r="C85">
        <f>1/(3900*1000/3.6)</f>
        <v>9.2307692307692312E-7</v>
      </c>
      <c r="D85" t="s">
        <v>11</v>
      </c>
      <c r="E85" t="s">
        <v>15</v>
      </c>
      <c r="F85" t="s">
        <v>98</v>
      </c>
    </row>
    <row r="86" spans="1:6" x14ac:dyDescent="0.2">
      <c r="A86" t="s">
        <v>99</v>
      </c>
      <c r="B86" t="s">
        <v>67</v>
      </c>
      <c r="C86">
        <f>1 / 12.06</f>
        <v>8.2918739635157543E-2</v>
      </c>
      <c r="D86" t="s">
        <v>11</v>
      </c>
      <c r="E86" t="s">
        <v>15</v>
      </c>
      <c r="F86" t="s">
        <v>100</v>
      </c>
    </row>
    <row r="87" spans="1:6" x14ac:dyDescent="0.2">
      <c r="A87" t="s">
        <v>101</v>
      </c>
      <c r="B87" t="s">
        <v>67</v>
      </c>
      <c r="C87">
        <f>1 * 3.6 / 45.799</f>
        <v>7.8604336339221384E-2</v>
      </c>
      <c r="D87" t="s">
        <v>11</v>
      </c>
      <c r="E87" t="s">
        <v>15</v>
      </c>
      <c r="F87" t="s">
        <v>102</v>
      </c>
    </row>
    <row r="88" spans="1:6" x14ac:dyDescent="0.2">
      <c r="A88" t="s">
        <v>103</v>
      </c>
      <c r="B88" t="s">
        <v>67</v>
      </c>
      <c r="C88">
        <f>1/4.28</f>
        <v>0.23364485981308411</v>
      </c>
      <c r="D88" t="s">
        <v>11</v>
      </c>
      <c r="E88" t="s">
        <v>15</v>
      </c>
      <c r="F88" t="s">
        <v>72</v>
      </c>
    </row>
    <row r="89" spans="1:6" x14ac:dyDescent="0.2">
      <c r="A89" t="s">
        <v>104</v>
      </c>
      <c r="B89" t="s">
        <v>67</v>
      </c>
      <c r="C89">
        <f>1/0.47</f>
        <v>2.1276595744680851</v>
      </c>
      <c r="D89" t="s">
        <v>18</v>
      </c>
      <c r="E89" t="s">
        <v>11</v>
      </c>
      <c r="F89" t="s">
        <v>105</v>
      </c>
    </row>
    <row r="90" spans="1:6" x14ac:dyDescent="0.2">
      <c r="A90" t="s">
        <v>104</v>
      </c>
      <c r="B90" t="s">
        <v>67</v>
      </c>
      <c r="C90">
        <f>0.47</f>
        <v>0.47</v>
      </c>
      <c r="D90" t="s">
        <v>11</v>
      </c>
      <c r="E90" t="s">
        <v>18</v>
      </c>
      <c r="F90" t="s">
        <v>105</v>
      </c>
    </row>
    <row r="91" spans="1:6" x14ac:dyDescent="0.2">
      <c r="A91" t="s">
        <v>106</v>
      </c>
      <c r="B91" t="s">
        <v>67</v>
      </c>
      <c r="C91">
        <f>3.6/5.4</f>
        <v>0.66666666666666663</v>
      </c>
      <c r="D91" t="s">
        <v>18</v>
      </c>
      <c r="E91" t="s">
        <v>15</v>
      </c>
      <c r="F91" t="s">
        <v>107</v>
      </c>
    </row>
    <row r="92" spans="1:6" x14ac:dyDescent="0.2">
      <c r="A92" t="s">
        <v>108</v>
      </c>
      <c r="B92" t="s">
        <v>67</v>
      </c>
      <c r="C92">
        <f>1/4.28</f>
        <v>0.23364485981308411</v>
      </c>
      <c r="D92" t="s">
        <v>11</v>
      </c>
      <c r="E92" t="s">
        <v>15</v>
      </c>
      <c r="F92" t="s">
        <v>72</v>
      </c>
    </row>
    <row r="93" spans="1:6" x14ac:dyDescent="0.2">
      <c r="A93" t="s">
        <v>109</v>
      </c>
      <c r="B93" t="s">
        <v>67</v>
      </c>
      <c r="C93">
        <f>1/4.28</f>
        <v>0.23364485981308411</v>
      </c>
      <c r="D93" t="s">
        <v>11</v>
      </c>
      <c r="E93" t="s">
        <v>15</v>
      </c>
      <c r="F93" t="s">
        <v>72</v>
      </c>
    </row>
    <row r="94" spans="1:6" x14ac:dyDescent="0.2">
      <c r="A94" t="s">
        <v>110</v>
      </c>
      <c r="B94" t="s">
        <v>67</v>
      </c>
      <c r="C94">
        <f>1/4.28</f>
        <v>0.23364485981308411</v>
      </c>
      <c r="D94" t="s">
        <v>11</v>
      </c>
      <c r="E94" t="s">
        <v>15</v>
      </c>
      <c r="F94" t="s">
        <v>72</v>
      </c>
    </row>
    <row r="95" spans="1:6" x14ac:dyDescent="0.2">
      <c r="A95" t="s">
        <v>111</v>
      </c>
      <c r="B95" t="s">
        <v>67</v>
      </c>
      <c r="C95">
        <f>1/4.28</f>
        <v>0.23364485981308411</v>
      </c>
      <c r="D95" t="s">
        <v>11</v>
      </c>
      <c r="E95" t="s">
        <v>15</v>
      </c>
      <c r="F95" t="s">
        <v>72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Arthur</cp:lastModifiedBy>
  <dcterms:created xsi:type="dcterms:W3CDTF">2025-12-01T22:38:37Z</dcterms:created>
  <dcterms:modified xsi:type="dcterms:W3CDTF">2026-03-15T10:10:21Z</dcterms:modified>
</cp:coreProperties>
</file>